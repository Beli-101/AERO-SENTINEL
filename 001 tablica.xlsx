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bi\OneDrive - CARNET\Desktop\"/>
    </mc:Choice>
  </mc:AlternateContent>
  <xr:revisionPtr revIDLastSave="0" documentId="13_ncr:1_{55F42F56-DCA2-4F9C-A8EA-30DCCCD08F7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K45" i="1"/>
  <c r="L53" i="1" s="1"/>
  <c r="K43" i="1"/>
  <c r="K26" i="1"/>
  <c r="L34" i="1" s="1"/>
  <c r="K25" i="1"/>
  <c r="K24" i="1"/>
  <c r="C39" i="1"/>
  <c r="F13" i="1"/>
  <c r="C24" i="1"/>
  <c r="C25" i="1" s="1"/>
  <c r="C27" i="1" s="1"/>
  <c r="C35" i="1" s="1"/>
  <c r="C42" i="1" l="1"/>
  <c r="C43" i="1" s="1"/>
  <c r="L1" i="1"/>
  <c r="C38" i="1"/>
  <c r="C40" i="1"/>
  <c r="C33" i="1"/>
  <c r="C28" i="1"/>
  <c r="C37" i="1"/>
  <c r="C44" i="1" s="1"/>
  <c r="C32" i="1"/>
  <c r="F32" i="1" s="1"/>
  <c r="L9" i="1" l="1"/>
  <c r="O1" i="1"/>
  <c r="L5" i="1"/>
  <c r="C29" i="1"/>
  <c r="L2" i="1"/>
  <c r="O5" i="1" l="1"/>
  <c r="K22" i="1"/>
  <c r="L6" i="1"/>
  <c r="O2" i="1"/>
  <c r="L13" i="1"/>
  <c r="K41" i="1" s="1"/>
  <c r="O9" i="1"/>
  <c r="L3" i="1"/>
  <c r="O6" i="1" l="1"/>
  <c r="K23" i="1"/>
  <c r="L33" i="1" s="1"/>
  <c r="L35" i="1" s="1"/>
  <c r="L36" i="1" s="1"/>
  <c r="L37" i="1" s="1"/>
  <c r="L7" i="1"/>
  <c r="O7" i="1" s="1"/>
  <c r="O13" i="1"/>
  <c r="O3" i="1"/>
  <c r="L10" i="1"/>
  <c r="O10" i="1" l="1"/>
  <c r="L11" i="1"/>
  <c r="L14" i="1" l="1"/>
  <c r="K42" i="1" s="1"/>
  <c r="L52" i="1" s="1"/>
  <c r="L54" i="1" s="1"/>
  <c r="L55" i="1" s="1"/>
  <c r="L56" i="1" s="1"/>
  <c r="O11" i="1"/>
  <c r="O14" i="1" l="1"/>
  <c r="L15" i="1"/>
  <c r="O15" i="1" s="1"/>
</calcChain>
</file>

<file path=xl/sharedStrings.xml><?xml version="1.0" encoding="utf-8"?>
<sst xmlns="http://schemas.openxmlformats.org/spreadsheetml/2006/main" count="190" uniqueCount="133">
  <si>
    <t>masa (m)</t>
  </si>
  <si>
    <t>kg</t>
  </si>
  <si>
    <t>g</t>
  </si>
  <si>
    <t>m/s</t>
  </si>
  <si>
    <t>N</t>
  </si>
  <si>
    <t>Lift (min)</t>
  </si>
  <si>
    <t>1.1*W</t>
  </si>
  <si>
    <t>W (weight)</t>
  </si>
  <si>
    <t>m*g</t>
  </si>
  <si>
    <t xml:space="preserve">km/h </t>
  </si>
  <si>
    <t xml:space="preserve">vstall </t>
  </si>
  <si>
    <t>S</t>
  </si>
  <si>
    <t>v</t>
  </si>
  <si>
    <t>početne vrijednosti - varijabilne</t>
  </si>
  <si>
    <r>
      <t>kg/m</t>
    </r>
    <r>
      <rPr>
        <vertAlign val="superscript"/>
        <sz val="11"/>
        <color rgb="FF9C5700"/>
        <rFont val="Calibri"/>
        <family val="2"/>
        <charset val="238"/>
        <scheme val="minor"/>
      </rPr>
      <t>3</t>
    </r>
  </si>
  <si>
    <r>
      <t>m</t>
    </r>
    <r>
      <rPr>
        <vertAlign val="superscript"/>
        <sz val="11"/>
        <color rgb="FF006100"/>
        <rFont val="Calibri"/>
        <family val="2"/>
        <charset val="238"/>
        <scheme val="minor"/>
      </rPr>
      <t>2</t>
    </r>
  </si>
  <si>
    <t>Wing loading</t>
  </si>
  <si>
    <t>W/S</t>
  </si>
  <si>
    <t>Drag</t>
  </si>
  <si>
    <t>žuto - varijabilno</t>
  </si>
  <si>
    <t>zeleno - izračuni</t>
  </si>
  <si>
    <t>rezultati</t>
  </si>
  <si>
    <t>sqrt(AR*S)</t>
  </si>
  <si>
    <t xml:space="preserve">m </t>
  </si>
  <si>
    <t xml:space="preserve">S/b </t>
  </si>
  <si>
    <t>span (b)</t>
  </si>
  <si>
    <t xml:space="preserve">chord (c)  </t>
  </si>
  <si>
    <t>km/h</t>
  </si>
  <si>
    <t>akceleracija na pisti (a)</t>
  </si>
  <si>
    <t>taper ratio</t>
  </si>
  <si>
    <t>20% od S</t>
  </si>
  <si>
    <t xml:space="preserve">m  </t>
  </si>
  <si>
    <t>m</t>
  </si>
  <si>
    <t>(b/2) * 35%</t>
  </si>
  <si>
    <r>
      <t>Trust until liftoff (T</t>
    </r>
    <r>
      <rPr>
        <vertAlign val="subscript"/>
        <sz val="11"/>
        <color rgb="FF006100"/>
        <rFont val="Calibri"/>
        <family val="2"/>
        <charset val="238"/>
        <scheme val="minor"/>
      </rPr>
      <t>L</t>
    </r>
    <r>
      <rPr>
        <sz val="11"/>
        <color rgb="FF006100"/>
        <rFont val="Calibri"/>
        <family val="2"/>
        <charset val="238"/>
        <scheme val="minor"/>
      </rPr>
      <t>)</t>
    </r>
  </si>
  <si>
    <r>
      <t>Trust ascending (T</t>
    </r>
    <r>
      <rPr>
        <vertAlign val="subscript"/>
        <sz val="11"/>
        <color rgb="FF006100"/>
        <rFont val="Calibri"/>
        <family val="2"/>
        <charset val="238"/>
        <scheme val="minor"/>
      </rPr>
      <t>asc</t>
    </r>
    <r>
      <rPr>
        <sz val="11"/>
        <color rgb="FF006100"/>
        <rFont val="Calibri"/>
        <family val="2"/>
        <charset val="238"/>
        <scheme val="minor"/>
      </rPr>
      <t>)</t>
    </r>
  </si>
  <si>
    <r>
      <t>horizontal stabilizer area (A</t>
    </r>
    <r>
      <rPr>
        <vertAlign val="subscript"/>
        <sz val="11"/>
        <color rgb="FF006100"/>
        <rFont val="Calibri"/>
        <family val="2"/>
        <charset val="238"/>
        <scheme val="minor"/>
      </rPr>
      <t>hs</t>
    </r>
    <r>
      <rPr>
        <sz val="11"/>
        <color rgb="FF006100"/>
        <rFont val="Calibri"/>
        <family val="2"/>
        <charset val="238"/>
        <scheme val="minor"/>
      </rPr>
      <t>)</t>
    </r>
  </si>
  <si>
    <r>
      <t>horizontal length (L</t>
    </r>
    <r>
      <rPr>
        <vertAlign val="subscript"/>
        <sz val="11"/>
        <color rgb="FF006100"/>
        <rFont val="Calibri"/>
        <family val="2"/>
        <charset val="238"/>
        <scheme val="minor"/>
      </rPr>
      <t>h</t>
    </r>
    <r>
      <rPr>
        <sz val="11"/>
        <color rgb="FF006100"/>
        <rFont val="Calibri"/>
        <family val="2"/>
        <charset val="238"/>
        <scheme val="minor"/>
      </rPr>
      <t>)</t>
    </r>
  </si>
  <si>
    <r>
      <t>horizontal width (W</t>
    </r>
    <r>
      <rPr>
        <vertAlign val="subscript"/>
        <sz val="11"/>
        <color rgb="FF006100"/>
        <rFont val="Calibri"/>
        <family val="2"/>
        <charset val="238"/>
        <scheme val="minor"/>
      </rPr>
      <t>h</t>
    </r>
    <r>
      <rPr>
        <sz val="11"/>
        <color rgb="FF006100"/>
        <rFont val="Calibri"/>
        <family val="2"/>
        <charset val="238"/>
        <scheme val="minor"/>
      </rPr>
      <t>)</t>
    </r>
  </si>
  <si>
    <r>
      <t>elevator area (E</t>
    </r>
    <r>
      <rPr>
        <vertAlign val="subscript"/>
        <sz val="11"/>
        <color rgb="FF006100"/>
        <rFont val="Calibri"/>
        <family val="2"/>
        <charset val="238"/>
        <scheme val="minor"/>
      </rPr>
      <t>a</t>
    </r>
    <r>
      <rPr>
        <sz val="11"/>
        <color rgb="FF006100"/>
        <rFont val="Calibri"/>
        <family val="2"/>
        <charset val="238"/>
        <scheme val="minor"/>
      </rPr>
      <t>)</t>
    </r>
  </si>
  <si>
    <r>
      <t xml:space="preserve"> elevator length (L</t>
    </r>
    <r>
      <rPr>
        <vertAlign val="subscript"/>
        <sz val="11"/>
        <color rgb="FF006100"/>
        <rFont val="Calibri"/>
        <family val="2"/>
        <charset val="238"/>
        <scheme val="minor"/>
      </rPr>
      <t>e</t>
    </r>
    <r>
      <rPr>
        <sz val="11"/>
        <color rgb="FF006100"/>
        <rFont val="Calibri"/>
        <family val="2"/>
        <charset val="238"/>
        <scheme val="minor"/>
      </rPr>
      <t>)</t>
    </r>
  </si>
  <si>
    <r>
      <t>elevator width (E</t>
    </r>
    <r>
      <rPr>
        <vertAlign val="subscript"/>
        <sz val="11"/>
        <color rgb="FF006100"/>
        <rFont val="Calibri"/>
        <family val="2"/>
        <charset val="238"/>
        <scheme val="minor"/>
      </rPr>
      <t>w</t>
    </r>
    <r>
      <rPr>
        <sz val="11"/>
        <color rgb="FF006100"/>
        <rFont val="Calibri"/>
        <family val="2"/>
        <charset val="238"/>
        <scheme val="minor"/>
      </rPr>
      <t>)</t>
    </r>
  </si>
  <si>
    <r>
      <t>vertical stabiliser area (A</t>
    </r>
    <r>
      <rPr>
        <vertAlign val="subscript"/>
        <sz val="11"/>
        <color rgb="FF006100"/>
        <rFont val="Calibri"/>
        <family val="2"/>
        <charset val="238"/>
        <scheme val="minor"/>
      </rPr>
      <t>vs</t>
    </r>
    <r>
      <rPr>
        <sz val="11"/>
        <color rgb="FF006100"/>
        <rFont val="Calibri"/>
        <family val="2"/>
        <charset val="238"/>
        <scheme val="minor"/>
      </rPr>
      <t>)</t>
    </r>
  </si>
  <si>
    <r>
      <t>vertical width (W</t>
    </r>
    <r>
      <rPr>
        <vertAlign val="subscript"/>
        <sz val="11"/>
        <color rgb="FF006100"/>
        <rFont val="Calibri"/>
        <family val="2"/>
        <charset val="238"/>
        <scheme val="minor"/>
      </rPr>
      <t>v</t>
    </r>
    <r>
      <rPr>
        <sz val="11"/>
        <color rgb="FF006100"/>
        <rFont val="Calibri"/>
        <family val="2"/>
        <charset val="238"/>
        <scheme val="minor"/>
      </rPr>
      <t>)</t>
    </r>
  </si>
  <si>
    <r>
      <t>vertical height (H</t>
    </r>
    <r>
      <rPr>
        <vertAlign val="subscript"/>
        <sz val="11"/>
        <color rgb="FF006100"/>
        <rFont val="Calibri"/>
        <family val="2"/>
        <charset val="238"/>
        <scheme val="minor"/>
      </rPr>
      <t>v</t>
    </r>
    <r>
      <rPr>
        <sz val="11"/>
        <color rgb="FF006100"/>
        <rFont val="Calibri"/>
        <family val="2"/>
        <charset val="238"/>
        <scheme val="minor"/>
      </rPr>
      <t>)</t>
    </r>
  </si>
  <si>
    <r>
      <t>H</t>
    </r>
    <r>
      <rPr>
        <vertAlign val="subscript"/>
        <sz val="11"/>
        <color rgb="FF006100"/>
        <rFont val="Calibri"/>
        <family val="2"/>
        <charset val="238"/>
        <scheme val="minor"/>
      </rPr>
      <t>v</t>
    </r>
  </si>
  <si>
    <r>
      <t>33% od A</t>
    </r>
    <r>
      <rPr>
        <vertAlign val="subscript"/>
        <sz val="11"/>
        <color rgb="FF006100"/>
        <rFont val="Calibri"/>
        <family val="2"/>
        <charset val="238"/>
        <scheme val="minor"/>
      </rPr>
      <t>vs</t>
    </r>
  </si>
  <si>
    <r>
      <t>V</t>
    </r>
    <r>
      <rPr>
        <vertAlign val="subscript"/>
        <sz val="11"/>
        <color rgb="FF006100"/>
        <rFont val="Calibri"/>
        <family val="2"/>
        <charset val="238"/>
        <scheme val="minor"/>
      </rPr>
      <t>sa</t>
    </r>
    <r>
      <rPr>
        <sz val="11"/>
        <color rgb="FF006100"/>
        <rFont val="Calibri"/>
        <family val="2"/>
        <charset val="238"/>
        <scheme val="minor"/>
      </rPr>
      <t>/V</t>
    </r>
    <r>
      <rPr>
        <vertAlign val="subscript"/>
        <sz val="11"/>
        <color rgb="FF006100"/>
        <rFont val="Calibri"/>
        <family val="2"/>
        <charset val="238"/>
        <scheme val="minor"/>
      </rPr>
      <t>w</t>
    </r>
  </si>
  <si>
    <r>
      <t>W</t>
    </r>
    <r>
      <rPr>
        <vertAlign val="subscript"/>
        <sz val="11"/>
        <color rgb="FF006100"/>
        <rFont val="Calibri"/>
        <family val="2"/>
        <charset val="238"/>
        <scheme val="minor"/>
      </rPr>
      <t>h</t>
    </r>
  </si>
  <si>
    <r>
      <t>33%  od A</t>
    </r>
    <r>
      <rPr>
        <vertAlign val="subscript"/>
        <sz val="11"/>
        <color rgb="FF006100"/>
        <rFont val="Calibri"/>
        <family val="2"/>
        <charset val="238"/>
        <scheme val="minor"/>
      </rPr>
      <t xml:space="preserve">hs </t>
    </r>
  </si>
  <si>
    <r>
      <t>E</t>
    </r>
    <r>
      <rPr>
        <vertAlign val="subscript"/>
        <sz val="11"/>
        <color rgb="FF006100"/>
        <rFont val="Calibri"/>
        <family val="2"/>
        <charset val="238"/>
        <scheme val="minor"/>
      </rPr>
      <t>a</t>
    </r>
    <r>
      <rPr>
        <sz val="11"/>
        <color rgb="FF006100"/>
        <rFont val="Calibri"/>
        <family val="2"/>
        <charset val="238"/>
        <scheme val="minor"/>
      </rPr>
      <t>/E</t>
    </r>
    <r>
      <rPr>
        <vertAlign val="subscript"/>
        <sz val="11"/>
        <color rgb="FF006100"/>
        <rFont val="Calibri"/>
        <family val="2"/>
        <charset val="238"/>
        <scheme val="minor"/>
      </rPr>
      <t>L</t>
    </r>
  </si>
  <si>
    <r>
      <t>L</t>
    </r>
    <r>
      <rPr>
        <vertAlign val="subscript"/>
        <sz val="11"/>
        <color rgb="FF006100"/>
        <rFont val="Calibri"/>
        <family val="2"/>
        <charset val="238"/>
        <scheme val="minor"/>
      </rPr>
      <t>h</t>
    </r>
  </si>
  <si>
    <r>
      <t>A</t>
    </r>
    <r>
      <rPr>
        <vertAlign val="subscript"/>
        <sz val="11"/>
        <color rgb="FF006100"/>
        <rFont val="Calibri"/>
        <family val="2"/>
        <charset val="238"/>
        <scheme val="minor"/>
      </rPr>
      <t>hs</t>
    </r>
    <r>
      <rPr>
        <sz val="11"/>
        <color rgb="FF006100"/>
        <rFont val="Calibri"/>
        <family val="2"/>
        <charset val="238"/>
        <scheme val="minor"/>
      </rPr>
      <t>/L</t>
    </r>
    <r>
      <rPr>
        <vertAlign val="subscript"/>
        <sz val="11"/>
        <color rgb="FF006100"/>
        <rFont val="Calibri"/>
        <family val="2"/>
        <charset val="238"/>
        <scheme val="minor"/>
      </rPr>
      <t>h</t>
    </r>
  </si>
  <si>
    <r>
      <t>sila trenja (F</t>
    </r>
    <r>
      <rPr>
        <vertAlign val="subscript"/>
        <sz val="11"/>
        <color rgb="FF006100"/>
        <rFont val="Calibri"/>
        <family val="2"/>
        <charset val="238"/>
        <scheme val="minor"/>
      </rPr>
      <t>TR</t>
    </r>
    <r>
      <rPr>
        <sz val="11"/>
        <color rgb="FF006100"/>
        <rFont val="Calibri"/>
        <family val="2"/>
        <charset val="238"/>
        <scheme val="minor"/>
      </rPr>
      <t>)</t>
    </r>
  </si>
  <si>
    <r>
      <t>A</t>
    </r>
    <r>
      <rPr>
        <vertAlign val="subscript"/>
        <sz val="11"/>
        <color rgb="FF006100"/>
        <rFont val="Calibri"/>
        <family val="2"/>
        <charset val="238"/>
        <scheme val="minor"/>
      </rPr>
      <t>R</t>
    </r>
    <r>
      <rPr>
        <sz val="11"/>
        <color rgb="FF006100"/>
        <rFont val="Calibri"/>
        <family val="2"/>
        <charset val="238"/>
        <scheme val="minor"/>
      </rPr>
      <t>/H</t>
    </r>
    <r>
      <rPr>
        <vertAlign val="subscript"/>
        <sz val="11"/>
        <color rgb="FF006100"/>
        <rFont val="Calibri"/>
        <family val="2"/>
        <charset val="238"/>
        <scheme val="minor"/>
      </rPr>
      <t>R</t>
    </r>
  </si>
  <si>
    <r>
      <t>rudder width (W</t>
    </r>
    <r>
      <rPr>
        <vertAlign val="subscript"/>
        <sz val="11"/>
        <color rgb="FF006100"/>
        <rFont val="Calibri"/>
        <family val="2"/>
        <charset val="238"/>
        <scheme val="minor"/>
      </rPr>
      <t>R</t>
    </r>
    <r>
      <rPr>
        <sz val="11"/>
        <color rgb="FF006100"/>
        <rFont val="Calibri"/>
        <family val="2"/>
        <charset val="238"/>
        <scheme val="minor"/>
      </rPr>
      <t>)</t>
    </r>
  </si>
  <si>
    <r>
      <t>rudder height (H</t>
    </r>
    <r>
      <rPr>
        <vertAlign val="subscript"/>
        <sz val="11"/>
        <color rgb="FF006100"/>
        <rFont val="Calibri"/>
        <family val="2"/>
        <charset val="238"/>
        <scheme val="minor"/>
      </rPr>
      <t>R</t>
    </r>
    <r>
      <rPr>
        <sz val="11"/>
        <color rgb="FF006100"/>
        <rFont val="Calibri"/>
        <family val="2"/>
        <charset val="238"/>
        <scheme val="minor"/>
      </rPr>
      <t>)</t>
    </r>
  </si>
  <si>
    <r>
      <t>rudder area (A</t>
    </r>
    <r>
      <rPr>
        <vertAlign val="subscript"/>
        <sz val="11"/>
        <color rgb="FF006100"/>
        <rFont val="Calibri"/>
        <family val="2"/>
        <charset val="238"/>
        <scheme val="minor"/>
      </rPr>
      <t>R</t>
    </r>
    <r>
      <rPr>
        <sz val="11"/>
        <color rgb="FF006100"/>
        <rFont val="Calibri"/>
        <family val="2"/>
        <charset val="238"/>
        <scheme val="minor"/>
      </rPr>
      <t>)</t>
    </r>
  </si>
  <si>
    <t>s</t>
  </si>
  <si>
    <r>
      <t>Liftoff speed (v</t>
    </r>
    <r>
      <rPr>
        <vertAlign val="subscript"/>
        <sz val="11"/>
        <color rgb="FF006100"/>
        <rFont val="Calibri"/>
        <family val="2"/>
        <charset val="238"/>
        <scheme val="minor"/>
      </rPr>
      <t>L</t>
    </r>
    <r>
      <rPr>
        <sz val="11"/>
        <color rgb="FF006100"/>
        <rFont val="Calibri"/>
        <family val="2"/>
        <charset val="238"/>
        <scheme val="minor"/>
      </rPr>
      <t>)</t>
    </r>
  </si>
  <si>
    <r>
      <t>v</t>
    </r>
    <r>
      <rPr>
        <vertAlign val="subscript"/>
        <sz val="11"/>
        <color rgb="FF006100"/>
        <rFont val="Calibri"/>
        <family val="2"/>
        <charset val="238"/>
        <scheme val="minor"/>
      </rPr>
      <t>L</t>
    </r>
    <r>
      <rPr>
        <sz val="11"/>
        <color rgb="FF006100"/>
        <rFont val="Calibri"/>
        <family val="2"/>
        <charset val="238"/>
        <scheme val="minor"/>
      </rPr>
      <t xml:space="preserve"> / a</t>
    </r>
  </si>
  <si>
    <t>vrijeme poleta (t)</t>
  </si>
  <si>
    <t>cm</t>
  </si>
  <si>
    <r>
      <t>cm</t>
    </r>
    <r>
      <rPr>
        <vertAlign val="superscript"/>
        <sz val="11"/>
        <color rgb="FF006100"/>
        <rFont val="Calibri"/>
        <family val="2"/>
        <charset val="238"/>
        <scheme val="minor"/>
      </rPr>
      <t>2</t>
    </r>
  </si>
  <si>
    <t>distanca poleta</t>
  </si>
  <si>
    <r>
      <t>Trust cruising (T</t>
    </r>
    <r>
      <rPr>
        <vertAlign val="subscript"/>
        <sz val="11"/>
        <color rgb="FF006100"/>
        <rFont val="Calibri"/>
        <family val="2"/>
        <charset val="238"/>
        <scheme val="minor"/>
      </rPr>
      <t>c</t>
    </r>
    <r>
      <rPr>
        <sz val="11"/>
        <color rgb="FF006100"/>
        <rFont val="Calibri"/>
        <family val="2"/>
        <charset val="238"/>
        <scheme val="minor"/>
      </rPr>
      <t>)</t>
    </r>
  </si>
  <si>
    <r>
      <t>33% od A</t>
    </r>
    <r>
      <rPr>
        <vertAlign val="subscript"/>
        <sz val="11"/>
        <color rgb="FF006100"/>
        <rFont val="Calibri"/>
        <family val="2"/>
        <charset val="238"/>
        <scheme val="minor"/>
      </rPr>
      <t>hs</t>
    </r>
  </si>
  <si>
    <t>aspect ratio (AR)</t>
  </si>
  <si>
    <r>
      <t>vertical speed (V</t>
    </r>
    <r>
      <rPr>
        <vertAlign val="subscript"/>
        <sz val="11"/>
        <color rgb="FF9C5700"/>
        <rFont val="Calibri"/>
        <family val="2"/>
        <charset val="238"/>
        <scheme val="minor"/>
      </rPr>
      <t>v</t>
    </r>
    <r>
      <rPr>
        <sz val="11"/>
        <color rgb="FF9C5700"/>
        <rFont val="Calibri"/>
        <family val="2"/>
        <charset val="238"/>
        <scheme val="minor"/>
      </rPr>
      <t>)</t>
    </r>
  </si>
  <si>
    <t>Power</t>
  </si>
  <si>
    <t>D*v</t>
  </si>
  <si>
    <t>Batttery voltage (V)</t>
  </si>
  <si>
    <t xml:space="preserve">propeller radius </t>
  </si>
  <si>
    <t>RPM per volt (KV)</t>
  </si>
  <si>
    <t>rad</t>
  </si>
  <si>
    <t xml:space="preserve">e </t>
  </si>
  <si>
    <t>η</t>
  </si>
  <si>
    <t>speed (v)</t>
  </si>
  <si>
    <t>//</t>
  </si>
  <si>
    <r>
      <t>Cd</t>
    </r>
    <r>
      <rPr>
        <vertAlign val="subscript"/>
        <sz val="11"/>
        <color rgb="FF006100"/>
        <rFont val="Calibri"/>
        <family val="2"/>
        <charset val="238"/>
        <scheme val="minor"/>
      </rPr>
      <t>i</t>
    </r>
    <r>
      <rPr>
        <sz val="11"/>
        <color rgb="FF006100"/>
        <rFont val="Calibri"/>
        <family val="2"/>
        <charset val="238"/>
        <scheme val="minor"/>
      </rPr>
      <t>+Cd</t>
    </r>
    <r>
      <rPr>
        <vertAlign val="subscript"/>
        <sz val="11"/>
        <color rgb="FF006100"/>
        <rFont val="Calibri"/>
        <family val="2"/>
        <charset val="238"/>
        <scheme val="minor"/>
      </rPr>
      <t>0</t>
    </r>
  </si>
  <si>
    <r>
      <t>b</t>
    </r>
    <r>
      <rPr>
        <vertAlign val="superscript"/>
        <sz val="11"/>
        <color rgb="FF006100"/>
        <rFont val="Calibri"/>
        <family val="2"/>
        <charset val="238"/>
        <scheme val="minor"/>
      </rPr>
      <t>2</t>
    </r>
    <r>
      <rPr>
        <sz val="11"/>
        <color rgb="FF006100"/>
        <rFont val="Calibri"/>
        <family val="2"/>
        <charset val="238"/>
        <scheme val="minor"/>
      </rPr>
      <t xml:space="preserve">/ S </t>
    </r>
  </si>
  <si>
    <r>
      <t>aspect ratio elevatora (AR</t>
    </r>
    <r>
      <rPr>
        <vertAlign val="subscript"/>
        <sz val="11"/>
        <color rgb="FF006100"/>
        <rFont val="Calibri"/>
        <family val="2"/>
        <charset val="238"/>
        <scheme val="minor"/>
      </rPr>
      <t>E</t>
    </r>
    <r>
      <rPr>
        <sz val="11"/>
        <color rgb="FF006100"/>
        <rFont val="Calibri"/>
        <family val="2"/>
        <charset val="238"/>
        <scheme val="minor"/>
      </rPr>
      <t>)</t>
    </r>
  </si>
  <si>
    <r>
      <t>koeficijent lifra elevatora (C</t>
    </r>
    <r>
      <rPr>
        <vertAlign val="subscript"/>
        <sz val="11"/>
        <color rgb="FF006100"/>
        <rFont val="Calibri"/>
        <family val="2"/>
        <charset val="238"/>
        <scheme val="minor"/>
      </rPr>
      <t>LE</t>
    </r>
    <r>
      <rPr>
        <sz val="11"/>
        <color rgb="FF006100"/>
        <rFont val="Calibri"/>
        <family val="2"/>
        <charset val="238"/>
        <scheme val="minor"/>
      </rPr>
      <t>)</t>
    </r>
  </si>
  <si>
    <r>
      <t>inducirani koeficijent draga (C</t>
    </r>
    <r>
      <rPr>
        <vertAlign val="subscript"/>
        <sz val="11"/>
        <color rgb="FF006100"/>
        <rFont val="Calibri"/>
        <family val="2"/>
        <charset val="238"/>
        <scheme val="minor"/>
      </rPr>
      <t>di</t>
    </r>
    <r>
      <rPr>
        <sz val="11"/>
        <color rgb="FF006100"/>
        <rFont val="Calibri"/>
        <family val="2"/>
        <charset val="238"/>
        <scheme val="minor"/>
      </rPr>
      <t xml:space="preserve">) </t>
    </r>
  </si>
  <si>
    <r>
      <t>koeficijent draga (C</t>
    </r>
    <r>
      <rPr>
        <vertAlign val="subscript"/>
        <sz val="11"/>
        <color rgb="FF006100"/>
        <rFont val="Calibri"/>
        <family val="2"/>
        <charset val="238"/>
        <scheme val="minor"/>
      </rPr>
      <t>D</t>
    </r>
    <r>
      <rPr>
        <sz val="11"/>
        <color rgb="FF006100"/>
        <rFont val="Calibri"/>
        <family val="2"/>
        <charset val="238"/>
        <scheme val="minor"/>
      </rPr>
      <t xml:space="preserve">)  </t>
    </r>
  </si>
  <si>
    <r>
      <t>C</t>
    </r>
    <r>
      <rPr>
        <vertAlign val="subscript"/>
        <sz val="11"/>
        <color rgb="FF9C5700"/>
        <rFont val="Calibri"/>
        <family val="2"/>
        <charset val="238"/>
        <scheme val="minor"/>
      </rPr>
      <t>D0</t>
    </r>
  </si>
  <si>
    <r>
      <t>C</t>
    </r>
    <r>
      <rPr>
        <vertAlign val="subscript"/>
        <sz val="11"/>
        <color rgb="FF9C5700"/>
        <rFont val="Calibri"/>
        <family val="2"/>
        <charset val="238"/>
        <scheme val="minor"/>
      </rPr>
      <t>LX</t>
    </r>
  </si>
  <si>
    <r>
      <t>elevator span (b</t>
    </r>
    <r>
      <rPr>
        <vertAlign val="subscript"/>
        <sz val="11"/>
        <color rgb="FF9C5700"/>
        <rFont val="Calibri"/>
        <family val="2"/>
        <charset val="238"/>
        <scheme val="minor"/>
      </rPr>
      <t>e</t>
    </r>
    <r>
      <rPr>
        <sz val="11"/>
        <color rgb="FF9C5700"/>
        <rFont val="Calibri"/>
        <family val="2"/>
        <charset val="238"/>
        <scheme val="minor"/>
      </rPr>
      <t>)</t>
    </r>
  </si>
  <si>
    <t>°</t>
  </si>
  <si>
    <t>type in the angle here</t>
  </si>
  <si>
    <t>Elevator drag calculator</t>
  </si>
  <si>
    <t>Rudder drag calculator</t>
  </si>
  <si>
    <t>CLX</t>
  </si>
  <si>
    <t>CD0</t>
  </si>
  <si>
    <r>
      <t>m</t>
    </r>
    <r>
      <rPr>
        <vertAlign val="superscript"/>
        <sz val="11"/>
        <color rgb="FF9C5700"/>
        <rFont val="Calibri"/>
        <family val="2"/>
        <charset val="238"/>
        <scheme val="minor"/>
      </rPr>
      <t>2</t>
    </r>
  </si>
  <si>
    <r>
      <t>elevator area (S</t>
    </r>
    <r>
      <rPr>
        <vertAlign val="subscript"/>
        <sz val="11"/>
        <color rgb="FF9C5700"/>
        <rFont val="Calibri"/>
        <family val="2"/>
        <charset val="238"/>
        <scheme val="minor"/>
      </rPr>
      <t>E</t>
    </r>
    <r>
      <rPr>
        <sz val="11"/>
        <color rgb="FF9C5700"/>
        <rFont val="Calibri"/>
        <family val="2"/>
        <charset val="238"/>
        <scheme val="minor"/>
      </rPr>
      <t>)</t>
    </r>
  </si>
  <si>
    <r>
      <t>C</t>
    </r>
    <r>
      <rPr>
        <vertAlign val="subscript"/>
        <sz val="11"/>
        <color rgb="FF006100"/>
        <rFont val="Calibri"/>
        <family val="2"/>
        <charset val="238"/>
        <scheme val="minor"/>
      </rPr>
      <t>L</t>
    </r>
    <r>
      <rPr>
        <vertAlign val="superscript"/>
        <sz val="11"/>
        <color rgb="FF006100"/>
        <rFont val="Calibri"/>
        <family val="2"/>
        <charset val="238"/>
        <scheme val="minor"/>
      </rPr>
      <t>2</t>
    </r>
    <r>
      <rPr>
        <sz val="11"/>
        <color rgb="FF006100"/>
        <rFont val="Calibri"/>
        <family val="2"/>
        <charset val="238"/>
        <scheme val="minor"/>
      </rPr>
      <t>/ (π*e*AR</t>
    </r>
    <r>
      <rPr>
        <vertAlign val="subscript"/>
        <sz val="11"/>
        <color rgb="FF006100"/>
        <rFont val="Calibri"/>
        <family val="2"/>
        <charset val="238"/>
        <scheme val="minor"/>
      </rPr>
      <t>E</t>
    </r>
    <r>
      <rPr>
        <sz val="11"/>
        <color rgb="FF006100"/>
        <rFont val="Calibri"/>
        <family val="2"/>
        <charset val="238"/>
        <scheme val="minor"/>
      </rPr>
      <t>)</t>
    </r>
  </si>
  <si>
    <r>
      <t>rudder area (S</t>
    </r>
    <r>
      <rPr>
        <vertAlign val="subscript"/>
        <sz val="11"/>
        <color rgb="FF9C5700"/>
        <rFont val="Calibri"/>
        <family val="2"/>
        <charset val="238"/>
        <scheme val="minor"/>
      </rPr>
      <t>R</t>
    </r>
    <r>
      <rPr>
        <sz val="11"/>
        <color rgb="FF9C5700"/>
        <rFont val="Calibri"/>
        <family val="2"/>
        <charset val="238"/>
        <scheme val="minor"/>
      </rPr>
      <t>)</t>
    </r>
  </si>
  <si>
    <r>
      <t>rudder span (b</t>
    </r>
    <r>
      <rPr>
        <vertAlign val="subscript"/>
        <sz val="11"/>
        <color rgb="FF9C5700"/>
        <rFont val="Calibri"/>
        <family val="2"/>
        <charset val="238"/>
        <scheme val="minor"/>
      </rPr>
      <t>R</t>
    </r>
    <r>
      <rPr>
        <sz val="11"/>
        <color rgb="FF9C5700"/>
        <rFont val="Calibri"/>
        <family val="2"/>
        <charset val="238"/>
        <scheme val="minor"/>
      </rPr>
      <t>)</t>
    </r>
  </si>
  <si>
    <r>
      <t>b</t>
    </r>
    <r>
      <rPr>
        <vertAlign val="subscript"/>
        <sz val="11"/>
        <color rgb="FF006100"/>
        <rFont val="Calibri"/>
        <family val="2"/>
        <charset val="238"/>
        <scheme val="minor"/>
      </rPr>
      <t>R</t>
    </r>
    <r>
      <rPr>
        <vertAlign val="superscript"/>
        <sz val="11"/>
        <color rgb="FF006100"/>
        <rFont val="Calibri"/>
        <family val="2"/>
        <charset val="238"/>
        <scheme val="minor"/>
      </rPr>
      <t>2</t>
    </r>
    <r>
      <rPr>
        <sz val="11"/>
        <color rgb="FF006100"/>
        <rFont val="Calibri"/>
        <family val="2"/>
        <charset val="238"/>
        <scheme val="minor"/>
      </rPr>
      <t xml:space="preserve"> / S</t>
    </r>
    <r>
      <rPr>
        <vertAlign val="subscript"/>
        <sz val="11"/>
        <color rgb="FF006100"/>
        <rFont val="Calibri"/>
        <family val="2"/>
        <charset val="238"/>
        <scheme val="minor"/>
      </rPr>
      <t>R</t>
    </r>
  </si>
  <si>
    <r>
      <t>C</t>
    </r>
    <r>
      <rPr>
        <vertAlign val="subscript"/>
        <sz val="11"/>
        <color rgb="FF006100"/>
        <rFont val="Calibri"/>
        <family val="2"/>
        <charset val="238"/>
        <scheme val="minor"/>
      </rPr>
      <t>LR</t>
    </r>
    <r>
      <rPr>
        <vertAlign val="superscript"/>
        <sz val="11"/>
        <color rgb="FF006100"/>
        <rFont val="Calibri"/>
        <family val="2"/>
        <charset val="238"/>
        <scheme val="minor"/>
      </rPr>
      <t>2</t>
    </r>
    <r>
      <rPr>
        <sz val="11"/>
        <color rgb="FF006100"/>
        <rFont val="Calibri"/>
        <family val="2"/>
        <charset val="238"/>
        <scheme val="minor"/>
      </rPr>
      <t>/ (π * e* AR</t>
    </r>
    <r>
      <rPr>
        <vertAlign val="subscript"/>
        <sz val="11"/>
        <color rgb="FF006100"/>
        <rFont val="Calibri"/>
        <family val="2"/>
        <charset val="238"/>
        <scheme val="minor"/>
      </rPr>
      <t>R</t>
    </r>
    <r>
      <rPr>
        <sz val="11"/>
        <color rgb="FF006100"/>
        <rFont val="Calibri"/>
        <family val="2"/>
        <charset val="238"/>
        <scheme val="minor"/>
      </rPr>
      <t xml:space="preserve">) </t>
    </r>
  </si>
  <si>
    <r>
      <t>koeficijent lifta rudder (C</t>
    </r>
    <r>
      <rPr>
        <vertAlign val="subscript"/>
        <sz val="11"/>
        <color rgb="FF006100"/>
        <rFont val="Calibri"/>
        <family val="2"/>
        <charset val="238"/>
        <scheme val="minor"/>
      </rPr>
      <t>LR</t>
    </r>
    <r>
      <rPr>
        <sz val="11"/>
        <color rgb="FF006100"/>
        <rFont val="Calibri"/>
        <family val="2"/>
        <charset val="238"/>
        <scheme val="minor"/>
      </rPr>
      <t>)</t>
    </r>
  </si>
  <si>
    <r>
      <t>inducirani koeficijent draga ruddera (C</t>
    </r>
    <r>
      <rPr>
        <vertAlign val="subscript"/>
        <sz val="11"/>
        <color rgb="FF006100"/>
        <rFont val="Calibri"/>
        <family val="2"/>
        <charset val="238"/>
        <scheme val="minor"/>
      </rPr>
      <t>di</t>
    </r>
    <r>
      <rPr>
        <sz val="11"/>
        <color rgb="FF006100"/>
        <rFont val="Calibri"/>
        <family val="2"/>
        <charset val="238"/>
        <scheme val="minor"/>
      </rPr>
      <t>)</t>
    </r>
  </si>
  <si>
    <r>
      <t>C</t>
    </r>
    <r>
      <rPr>
        <vertAlign val="subscript"/>
        <sz val="11"/>
        <color rgb="FF006100"/>
        <rFont val="Calibri"/>
        <family val="2"/>
        <charset val="238"/>
        <scheme val="minor"/>
      </rPr>
      <t>D0</t>
    </r>
    <r>
      <rPr>
        <sz val="11"/>
        <color rgb="FF006100"/>
        <rFont val="Calibri"/>
        <family val="2"/>
        <charset val="238"/>
        <scheme val="minor"/>
      </rPr>
      <t>+C</t>
    </r>
    <r>
      <rPr>
        <vertAlign val="subscript"/>
        <sz val="11"/>
        <color rgb="FF006100"/>
        <rFont val="Calibri"/>
        <family val="2"/>
        <charset val="238"/>
        <scheme val="minor"/>
      </rPr>
      <t>di</t>
    </r>
  </si>
  <si>
    <r>
      <t>ukupni drag (C</t>
    </r>
    <r>
      <rPr>
        <vertAlign val="subscript"/>
        <sz val="11"/>
        <color rgb="FF006100"/>
        <rFont val="Calibri"/>
        <family val="2"/>
        <charset val="238"/>
        <scheme val="minor"/>
      </rPr>
      <t>D</t>
    </r>
    <r>
      <rPr>
        <sz val="11"/>
        <color rgb="FF006100"/>
        <rFont val="Calibri"/>
        <family val="2"/>
        <charset val="238"/>
        <scheme val="minor"/>
      </rPr>
      <t>)</t>
    </r>
  </si>
  <si>
    <r>
      <t>aspect ratio ruddera (AR</t>
    </r>
    <r>
      <rPr>
        <vertAlign val="subscript"/>
        <sz val="11"/>
        <color rgb="FF006100"/>
        <rFont val="Calibri"/>
        <family val="2"/>
        <charset val="238"/>
        <scheme val="minor"/>
      </rPr>
      <t>R</t>
    </r>
    <r>
      <rPr>
        <sz val="11"/>
        <color rgb="FF006100"/>
        <rFont val="Calibri"/>
        <family val="2"/>
        <charset val="238"/>
        <scheme val="minor"/>
      </rPr>
      <t>)</t>
    </r>
  </si>
  <si>
    <t xml:space="preserve">ρ at 1km </t>
  </si>
  <si>
    <r>
      <t>0.5*ρ*v</t>
    </r>
    <r>
      <rPr>
        <b/>
        <vertAlign val="superscript"/>
        <sz val="11"/>
        <color rgb="FF006100"/>
        <rFont val="Calibri"/>
        <family val="2"/>
        <charset val="238"/>
        <scheme val="minor"/>
      </rPr>
      <t>2</t>
    </r>
    <r>
      <rPr>
        <b/>
        <sz val="11"/>
        <color rgb="FF006100"/>
        <rFont val="Calibri"/>
        <family val="2"/>
        <charset val="238"/>
        <scheme val="minor"/>
      </rPr>
      <t>*C</t>
    </r>
    <r>
      <rPr>
        <b/>
        <vertAlign val="subscript"/>
        <sz val="11"/>
        <color rgb="FF006100"/>
        <rFont val="Calibri"/>
        <family val="2"/>
        <charset val="238"/>
        <scheme val="minor"/>
      </rPr>
      <t>D</t>
    </r>
    <r>
      <rPr>
        <b/>
        <sz val="11"/>
        <color rgb="FF006100"/>
        <rFont val="Calibri"/>
        <family val="2"/>
        <charset val="238"/>
        <scheme val="minor"/>
      </rPr>
      <t>*S</t>
    </r>
    <r>
      <rPr>
        <b/>
        <vertAlign val="subscript"/>
        <sz val="11"/>
        <color rgb="FF006100"/>
        <rFont val="Calibri"/>
        <family val="2"/>
        <charset val="238"/>
        <scheme val="minor"/>
      </rPr>
      <t>R</t>
    </r>
  </si>
  <si>
    <r>
      <t>0.5*ρ*v</t>
    </r>
    <r>
      <rPr>
        <b/>
        <vertAlign val="superscript"/>
        <sz val="11"/>
        <color rgb="FF006100"/>
        <rFont val="Calibri"/>
        <family val="2"/>
        <charset val="238"/>
        <scheme val="minor"/>
      </rPr>
      <t>2</t>
    </r>
    <r>
      <rPr>
        <b/>
        <sz val="11"/>
        <color rgb="FF006100"/>
        <rFont val="Calibri"/>
        <family val="2"/>
        <charset val="238"/>
        <scheme val="minor"/>
      </rPr>
      <t>*C</t>
    </r>
    <r>
      <rPr>
        <b/>
        <vertAlign val="subscript"/>
        <sz val="11"/>
        <color rgb="FF006100"/>
        <rFont val="Calibri"/>
        <family val="2"/>
        <charset val="238"/>
        <scheme val="minor"/>
      </rPr>
      <t>D</t>
    </r>
    <r>
      <rPr>
        <b/>
        <sz val="11"/>
        <color rgb="FF006100"/>
        <rFont val="Calibri"/>
        <family val="2"/>
        <charset val="238"/>
        <scheme val="minor"/>
      </rPr>
      <t>*S</t>
    </r>
    <r>
      <rPr>
        <b/>
        <vertAlign val="subscript"/>
        <sz val="11"/>
        <color rgb="FF006100"/>
        <rFont val="Calibri"/>
        <family val="2"/>
        <charset val="238"/>
        <scheme val="minor"/>
      </rPr>
      <t>E</t>
    </r>
  </si>
  <si>
    <t>ρ at 0km</t>
  </si>
  <si>
    <t>ρ at 1km</t>
  </si>
  <si>
    <t>μ (koefcijent trenja)</t>
  </si>
  <si>
    <r>
      <t>C</t>
    </r>
    <r>
      <rPr>
        <vertAlign val="subscript"/>
        <sz val="11"/>
        <color rgb="FF006100"/>
        <rFont val="Calibri"/>
        <family val="2"/>
        <charset val="238"/>
        <scheme val="minor"/>
      </rPr>
      <t>LX</t>
    </r>
    <r>
      <rPr>
        <sz val="11"/>
        <color rgb="FF006100"/>
        <rFont val="Calibri"/>
        <family val="2"/>
        <charset val="238"/>
        <scheme val="minor"/>
      </rPr>
      <t>*η*e</t>
    </r>
    <r>
      <rPr>
        <vertAlign val="subscript"/>
        <sz val="11"/>
        <color rgb="FF006100"/>
        <rFont val="Calibri"/>
        <family val="2"/>
        <charset val="238"/>
        <scheme val="minor"/>
      </rPr>
      <t>D</t>
    </r>
  </si>
  <si>
    <r>
      <t>C</t>
    </r>
    <r>
      <rPr>
        <vertAlign val="subscript"/>
        <sz val="11"/>
        <color rgb="FF006100"/>
        <rFont val="Calibri"/>
        <family val="2"/>
        <charset val="238"/>
        <scheme val="minor"/>
      </rPr>
      <t>LX</t>
    </r>
    <r>
      <rPr>
        <sz val="11"/>
        <color rgb="FF006100"/>
        <rFont val="Calibri"/>
        <family val="2"/>
        <charset val="238"/>
        <scheme val="minor"/>
      </rPr>
      <t>*η*r</t>
    </r>
    <r>
      <rPr>
        <vertAlign val="subscript"/>
        <sz val="11"/>
        <color rgb="FF006100"/>
        <rFont val="Calibri"/>
        <family val="2"/>
        <charset val="238"/>
        <scheme val="minor"/>
      </rPr>
      <t>D</t>
    </r>
  </si>
  <si>
    <r>
      <t>Drag ruddera ( for r</t>
    </r>
    <r>
      <rPr>
        <b/>
        <vertAlign val="subscript"/>
        <sz val="11"/>
        <color rgb="FF006100"/>
        <rFont val="Calibri"/>
        <family val="2"/>
        <charset val="238"/>
        <scheme val="minor"/>
      </rPr>
      <t>D</t>
    </r>
    <r>
      <rPr>
        <b/>
        <sz val="11"/>
        <color rgb="FF006100"/>
        <rFont val="Calibri"/>
        <family val="2"/>
        <charset val="238"/>
        <scheme val="minor"/>
      </rPr>
      <t>)</t>
    </r>
  </si>
  <si>
    <r>
      <t>rudder deflection (r</t>
    </r>
    <r>
      <rPr>
        <b/>
        <vertAlign val="subscript"/>
        <sz val="11"/>
        <color rgb="FF9C5700"/>
        <rFont val="Calibri"/>
        <family val="2"/>
        <charset val="238"/>
        <scheme val="minor"/>
      </rPr>
      <t>D</t>
    </r>
    <r>
      <rPr>
        <b/>
        <sz val="11"/>
        <color rgb="FF9C5700"/>
        <rFont val="Calibri"/>
        <family val="2"/>
        <charset val="238"/>
        <scheme val="minor"/>
      </rPr>
      <t>)</t>
    </r>
  </si>
  <si>
    <r>
      <t>elevator deflection (e</t>
    </r>
    <r>
      <rPr>
        <b/>
        <vertAlign val="subscript"/>
        <sz val="11"/>
        <color rgb="FF9C5700"/>
        <rFont val="Calibri"/>
        <family val="2"/>
        <charset val="238"/>
        <scheme val="minor"/>
      </rPr>
      <t>D</t>
    </r>
    <r>
      <rPr>
        <b/>
        <sz val="11"/>
        <color rgb="FF9C5700"/>
        <rFont val="Calibri"/>
        <family val="2"/>
        <charset val="238"/>
        <scheme val="minor"/>
      </rPr>
      <t>)</t>
    </r>
  </si>
  <si>
    <r>
      <t>Drag elevatora ( for e</t>
    </r>
    <r>
      <rPr>
        <b/>
        <vertAlign val="subscript"/>
        <sz val="11"/>
        <color rgb="FF006100"/>
        <rFont val="Calibri"/>
        <family val="2"/>
        <charset val="238"/>
        <scheme val="minor"/>
      </rPr>
      <t>D</t>
    </r>
    <r>
      <rPr>
        <b/>
        <sz val="11"/>
        <color rgb="FF006100"/>
        <rFont val="Calibri"/>
        <family val="2"/>
        <charset val="238"/>
        <scheme val="minor"/>
      </rPr>
      <t>)</t>
    </r>
  </si>
  <si>
    <r>
      <t>sqrt(2W/ρ*S*CL</t>
    </r>
    <r>
      <rPr>
        <vertAlign val="subscript"/>
        <sz val="11"/>
        <color rgb="FF006100"/>
        <rFont val="Calibri"/>
        <family val="2"/>
        <charset val="238"/>
        <scheme val="minor"/>
      </rPr>
      <t>max</t>
    </r>
    <r>
      <rPr>
        <sz val="11"/>
        <color rgb="FF006100"/>
        <rFont val="Calibri"/>
        <family val="2"/>
        <charset val="238"/>
        <scheme val="minor"/>
      </rPr>
      <t>)</t>
    </r>
  </si>
  <si>
    <r>
      <t>ρ * v</t>
    </r>
    <r>
      <rPr>
        <vertAlign val="superscript"/>
        <sz val="11"/>
        <color rgb="FF006100"/>
        <rFont val="Calibri"/>
        <family val="2"/>
        <charset val="238"/>
        <scheme val="minor"/>
      </rPr>
      <t>2</t>
    </r>
    <r>
      <rPr>
        <sz val="11"/>
        <color rgb="FF006100"/>
        <rFont val="Calibri"/>
        <family val="2"/>
        <charset val="238"/>
        <scheme val="minor"/>
      </rPr>
      <t xml:space="preserve"> * CL * 0,5</t>
    </r>
  </si>
  <si>
    <r>
      <t>m</t>
    </r>
    <r>
      <rPr>
        <b/>
        <vertAlign val="superscript"/>
        <sz val="11"/>
        <color rgb="FF006100"/>
        <rFont val="Calibri"/>
        <family val="2"/>
        <charset val="238"/>
        <scheme val="minor"/>
      </rPr>
      <t>2</t>
    </r>
  </si>
  <si>
    <r>
      <t>N/m</t>
    </r>
    <r>
      <rPr>
        <b/>
        <vertAlign val="superscript"/>
        <sz val="11"/>
        <color rgb="FF006100"/>
        <rFont val="Calibri"/>
        <family val="2"/>
        <charset val="238"/>
        <scheme val="minor"/>
      </rPr>
      <t>2</t>
    </r>
  </si>
  <si>
    <t xml:space="preserve">W </t>
  </si>
  <si>
    <t>μ*g*m</t>
  </si>
  <si>
    <r>
      <t>D+F</t>
    </r>
    <r>
      <rPr>
        <vertAlign val="subscript"/>
        <sz val="11"/>
        <color rgb="FF006100"/>
        <rFont val="Calibri"/>
        <family val="2"/>
        <charset val="238"/>
        <scheme val="minor"/>
      </rPr>
      <t>TR</t>
    </r>
    <r>
      <rPr>
        <sz val="11"/>
        <color rgb="FF006100"/>
        <rFont val="Calibri"/>
        <family val="2"/>
        <charset val="238"/>
        <scheme val="minor"/>
      </rPr>
      <t>+ma</t>
    </r>
  </si>
  <si>
    <r>
      <t>sqrt(2W/(ρ*S*C</t>
    </r>
    <r>
      <rPr>
        <vertAlign val="subscript"/>
        <sz val="11"/>
        <color rgb="FF006100"/>
        <rFont val="Calibri"/>
        <family val="2"/>
        <charset val="238"/>
        <scheme val="minor"/>
      </rPr>
      <t>L</t>
    </r>
    <r>
      <rPr>
        <sz val="11"/>
        <color rgb="FF006100"/>
        <rFont val="Calibri"/>
        <family val="2"/>
        <charset val="238"/>
        <scheme val="minor"/>
      </rPr>
      <t>)</t>
    </r>
  </si>
  <si>
    <r>
      <t>D+W*sin(V</t>
    </r>
    <r>
      <rPr>
        <vertAlign val="subscript"/>
        <sz val="11"/>
        <color rgb="FF006100"/>
        <rFont val="Calibri"/>
        <family val="2"/>
        <charset val="238"/>
        <scheme val="minor"/>
      </rPr>
      <t>v</t>
    </r>
    <r>
      <rPr>
        <sz val="11"/>
        <color rgb="FF006100"/>
        <rFont val="Calibri"/>
        <family val="2"/>
        <charset val="238"/>
        <scheme val="minor"/>
      </rPr>
      <t>/v)</t>
    </r>
  </si>
  <si>
    <r>
      <t>W/(C</t>
    </r>
    <r>
      <rPr>
        <vertAlign val="subscript"/>
        <sz val="11"/>
        <color rgb="FF006100"/>
        <rFont val="Calibri"/>
        <family val="2"/>
        <charset val="238"/>
        <scheme val="minor"/>
      </rPr>
      <t>L</t>
    </r>
    <r>
      <rPr>
        <sz val="11"/>
        <color rgb="FF006100"/>
        <rFont val="Calibri"/>
        <family val="2"/>
        <charset val="238"/>
        <scheme val="minor"/>
      </rPr>
      <t>/C</t>
    </r>
    <r>
      <rPr>
        <vertAlign val="subscript"/>
        <sz val="11"/>
        <color rgb="FF006100"/>
        <rFont val="Calibri"/>
        <family val="2"/>
        <charset val="238"/>
        <scheme val="minor"/>
      </rPr>
      <t>D</t>
    </r>
    <r>
      <rPr>
        <sz val="11"/>
        <color rgb="FF006100"/>
        <rFont val="Calibri"/>
        <family val="2"/>
        <charset val="238"/>
        <scheme val="minor"/>
      </rPr>
      <t>)</t>
    </r>
  </si>
  <si>
    <r>
      <t>0,5*ρ*v</t>
    </r>
    <r>
      <rPr>
        <vertAlign val="superscript"/>
        <sz val="11"/>
        <color rgb="FF006100"/>
        <rFont val="Calibri"/>
        <family val="2"/>
        <charset val="238"/>
        <scheme val="minor"/>
      </rPr>
      <t>2</t>
    </r>
    <r>
      <rPr>
        <sz val="11"/>
        <color rgb="FF006100"/>
        <rFont val="Calibri"/>
        <family val="2"/>
        <charset val="238"/>
        <scheme val="minor"/>
      </rPr>
      <t>*S*C</t>
    </r>
    <r>
      <rPr>
        <vertAlign val="subscript"/>
        <sz val="11"/>
        <color rgb="FF006100"/>
        <rFont val="Calibri"/>
        <family val="2"/>
        <charset val="238"/>
        <scheme val="minor"/>
      </rPr>
      <t>D</t>
    </r>
  </si>
  <si>
    <r>
      <t>C</t>
    </r>
    <r>
      <rPr>
        <vertAlign val="subscript"/>
        <sz val="11"/>
        <color rgb="FF9C5700"/>
        <rFont val="Calibri"/>
        <family val="2"/>
        <charset val="238"/>
        <scheme val="minor"/>
      </rPr>
      <t xml:space="preserve">L </t>
    </r>
  </si>
  <si>
    <r>
      <t>C</t>
    </r>
    <r>
      <rPr>
        <vertAlign val="subscript"/>
        <sz val="11"/>
        <color rgb="FF9C5700"/>
        <rFont val="Calibri"/>
        <family val="2"/>
        <charset val="238"/>
        <scheme val="minor"/>
      </rPr>
      <t>LMAX</t>
    </r>
  </si>
  <si>
    <r>
      <t>C</t>
    </r>
    <r>
      <rPr>
        <vertAlign val="subscript"/>
        <sz val="11"/>
        <color rgb="FF9C5700"/>
        <rFont val="Calibri"/>
        <family val="2"/>
        <charset val="238"/>
        <scheme val="minor"/>
      </rPr>
      <t>D</t>
    </r>
  </si>
  <si>
    <t>0.5at²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</si>
</sst>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8"/>
      <name val="Calibri"/>
      <family val="2"/>
      <scheme val="minor"/>
    </font>
    <font>
      <vertAlign val="superscript"/>
      <sz val="11"/>
      <color rgb="FF9C5700"/>
      <name val="Calibri"/>
      <family val="2"/>
      <charset val="238"/>
      <scheme val="minor"/>
    </font>
    <font>
      <vertAlign val="superscript"/>
      <sz val="11"/>
      <color rgb="FF006100"/>
      <name val="Calibri"/>
      <family val="2"/>
      <charset val="238"/>
      <scheme val="minor"/>
    </font>
    <font>
      <b/>
      <sz val="18"/>
      <color rgb="FF9C0006"/>
      <name val="Calibri"/>
      <family val="2"/>
      <charset val="238"/>
      <scheme val="minor"/>
    </font>
    <font>
      <vertAlign val="subscript"/>
      <sz val="11"/>
      <color rgb="FF006100"/>
      <name val="Calibri"/>
      <family val="2"/>
      <charset val="238"/>
      <scheme val="minor"/>
    </font>
    <font>
      <vertAlign val="subscript"/>
      <sz val="11"/>
      <color rgb="FF9C5700"/>
      <name val="Calibri"/>
      <family val="2"/>
      <charset val="238"/>
      <scheme val="minor"/>
    </font>
    <font>
      <b/>
      <sz val="11"/>
      <color rgb="FF006100"/>
      <name val="Calibri"/>
      <family val="2"/>
      <charset val="238"/>
      <scheme val="minor"/>
    </font>
    <font>
      <b/>
      <vertAlign val="superscript"/>
      <sz val="11"/>
      <color rgb="FF006100"/>
      <name val="Calibri"/>
      <family val="2"/>
      <charset val="238"/>
      <scheme val="minor"/>
    </font>
    <font>
      <b/>
      <vertAlign val="subscript"/>
      <sz val="11"/>
      <color rgb="FF0061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9C5700"/>
      <name val="Calibri"/>
      <family val="2"/>
      <charset val="238"/>
      <scheme val="minor"/>
    </font>
    <font>
      <b/>
      <sz val="12"/>
      <color rgb="FF9C5700"/>
      <name val="Calibri"/>
      <family val="2"/>
      <charset val="238"/>
      <scheme val="minor"/>
    </font>
    <font>
      <b/>
      <vertAlign val="subscript"/>
      <sz val="11"/>
      <color rgb="FF9C57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4" borderId="1" xfId="3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3" fillId="4" borderId="1" xfId="3" applyBorder="1" applyAlignment="1">
      <alignment horizontal="center"/>
    </xf>
    <xf numFmtId="0" fontId="3" fillId="4" borderId="2" xfId="3" applyBorder="1" applyAlignment="1">
      <alignment horizontal="center" vertical="center"/>
    </xf>
    <xf numFmtId="0" fontId="3" fillId="4" borderId="3" xfId="3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2" fontId="1" fillId="2" borderId="1" xfId="1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/>
    <xf numFmtId="164" fontId="3" fillId="4" borderId="1" xfId="3" applyNumberFormat="1" applyBorder="1" applyAlignment="1">
      <alignment horizontal="center"/>
    </xf>
    <xf numFmtId="164" fontId="3" fillId="4" borderId="1" xfId="3" applyNumberFormat="1" applyBorder="1" applyAlignment="1">
      <alignment horizontal="center" vertical="center"/>
    </xf>
    <xf numFmtId="164" fontId="3" fillId="4" borderId="2" xfId="3" applyNumberFormat="1" applyBorder="1" applyAlignment="1">
      <alignment horizontal="center" vertical="center"/>
    </xf>
    <xf numFmtId="164" fontId="3" fillId="4" borderId="3" xfId="3" applyNumberFormat="1" applyBorder="1" applyAlignment="1">
      <alignment horizontal="center" vertical="center"/>
    </xf>
    <xf numFmtId="0" fontId="10" fillId="2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14" fillId="4" borderId="1" xfId="3" applyFont="1" applyBorder="1" applyAlignment="1">
      <alignment horizontal="center" vertical="center"/>
    </xf>
    <xf numFmtId="0" fontId="15" fillId="4" borderId="1" xfId="3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164" fontId="10" fillId="2" borderId="1" xfId="1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0" fillId="2" borderId="2" xfId="1" applyFont="1" applyBorder="1" applyAlignment="1">
      <alignment horizontal="center" vertical="center"/>
    </xf>
    <xf numFmtId="164" fontId="10" fillId="2" borderId="2" xfId="1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4" borderId="5" xfId="3" applyFont="1" applyBorder="1" applyAlignment="1">
      <alignment horizontal="center" vertical="center"/>
    </xf>
    <xf numFmtId="0" fontId="14" fillId="4" borderId="6" xfId="3" applyFont="1" applyBorder="1" applyAlignment="1">
      <alignment horizontal="center" vertical="center"/>
    </xf>
    <xf numFmtId="0" fontId="14" fillId="4" borderId="3" xfId="3" applyFont="1" applyBorder="1" applyAlignment="1">
      <alignment horizontal="center" vertical="center"/>
    </xf>
    <xf numFmtId="0" fontId="7" fillId="3" borderId="7" xfId="2" applyFont="1" applyBorder="1" applyAlignment="1">
      <alignment horizontal="center" vertical="center"/>
    </xf>
    <xf numFmtId="0" fontId="7" fillId="3" borderId="8" xfId="2" applyFont="1" applyBorder="1" applyAlignment="1">
      <alignment horizontal="center" vertical="center"/>
    </xf>
    <xf numFmtId="0" fontId="7" fillId="3" borderId="9" xfId="2" applyFont="1" applyBorder="1" applyAlignment="1">
      <alignment horizontal="center" vertical="center"/>
    </xf>
    <xf numFmtId="0" fontId="7" fillId="3" borderId="10" xfId="2" applyFont="1" applyBorder="1" applyAlignment="1">
      <alignment horizontal="center" vertical="center"/>
    </xf>
    <xf numFmtId="0" fontId="2" fillId="3" borderId="5" xfId="2" applyBorder="1" applyAlignment="1">
      <alignment horizontal="center" vertical="center"/>
    </xf>
    <xf numFmtId="0" fontId="2" fillId="3" borderId="6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3" fillId="4" borderId="5" xfId="3" applyBorder="1" applyAlignment="1">
      <alignment horizontal="center"/>
    </xf>
    <xf numFmtId="0" fontId="3" fillId="4" borderId="6" xfId="3" applyBorder="1" applyAlignment="1">
      <alignment horizontal="center"/>
    </xf>
    <xf numFmtId="0" fontId="3" fillId="4" borderId="3" xfId="3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tabSelected="1" topLeftCell="A11" zoomScaleNormal="100" workbookViewId="0">
      <selection activeCell="O30" sqref="O30"/>
    </sheetView>
  </sheetViews>
  <sheetFormatPr defaultRowHeight="15" x14ac:dyDescent="0.25"/>
  <cols>
    <col min="1" max="1" width="20.85546875" style="2" customWidth="1"/>
    <col min="2" max="2" width="24.140625" style="2" customWidth="1"/>
    <col min="3" max="4" width="9.140625" style="2"/>
    <col min="5" max="5" width="4.42578125" style="2" customWidth="1"/>
    <col min="6" max="9" width="9.140625" style="2"/>
    <col min="10" max="10" width="37.42578125" style="2" customWidth="1"/>
    <col min="11" max="11" width="22.28515625" style="2" customWidth="1"/>
    <col min="12" max="13" width="9.140625" style="2"/>
    <col min="14" max="14" width="1.140625" style="2" customWidth="1"/>
    <col min="15" max="16" width="9.140625" style="2"/>
    <col min="17" max="17" width="1.28515625" style="2" customWidth="1"/>
    <col min="18" max="16384" width="9.140625" style="2"/>
  </cols>
  <sheetData>
    <row r="1" spans="1:16" ht="18" customHeight="1" x14ac:dyDescent="0.25">
      <c r="A1" s="32" t="s">
        <v>21</v>
      </c>
      <c r="B1" s="33"/>
      <c r="C1" s="8"/>
      <c r="D1" s="8" t="s">
        <v>19</v>
      </c>
      <c r="E1" s="8"/>
      <c r="J1" s="4" t="s">
        <v>36</v>
      </c>
      <c r="K1" s="4" t="s">
        <v>30</v>
      </c>
      <c r="L1" s="4">
        <f>0.2*C27</f>
        <v>9.4625807177506391E-2</v>
      </c>
      <c r="M1" s="4" t="s">
        <v>15</v>
      </c>
      <c r="O1" s="10">
        <f>L1*10000</f>
        <v>946.25807177506385</v>
      </c>
      <c r="P1" s="4" t="s">
        <v>63</v>
      </c>
    </row>
    <row r="2" spans="1:16" ht="18" customHeight="1" x14ac:dyDescent="0.25">
      <c r="A2" s="34"/>
      <c r="B2" s="35"/>
      <c r="C2" s="8"/>
      <c r="D2" s="8" t="s">
        <v>20</v>
      </c>
      <c r="E2" s="8"/>
      <c r="J2" s="4" t="s">
        <v>37</v>
      </c>
      <c r="K2" s="4" t="s">
        <v>33</v>
      </c>
      <c r="L2" s="4">
        <f>0.35*(C28/2)</f>
        <v>0.53832289054164628</v>
      </c>
      <c r="M2" s="4" t="s">
        <v>31</v>
      </c>
      <c r="O2" s="10">
        <f t="shared" ref="O2:O15" si="0">L2*100</f>
        <v>53.832289054164626</v>
      </c>
      <c r="P2" s="4" t="s">
        <v>62</v>
      </c>
    </row>
    <row r="3" spans="1:16" ht="18" x14ac:dyDescent="0.25">
      <c r="J3" s="4" t="s">
        <v>38</v>
      </c>
      <c r="K3" s="4" t="s">
        <v>52</v>
      </c>
      <c r="L3" s="4">
        <f>L1/L2</f>
        <v>0.17577890303400698</v>
      </c>
      <c r="M3" s="4" t="s">
        <v>31</v>
      </c>
      <c r="O3" s="10">
        <f t="shared" si="0"/>
        <v>17.577890303400697</v>
      </c>
      <c r="P3" s="4" t="s">
        <v>62</v>
      </c>
    </row>
    <row r="4" spans="1:16" x14ac:dyDescent="0.25">
      <c r="A4" s="39" t="s">
        <v>13</v>
      </c>
      <c r="B4" s="40"/>
      <c r="C4" s="41"/>
      <c r="O4" s="11"/>
    </row>
    <row r="5" spans="1:16" ht="18" x14ac:dyDescent="0.25">
      <c r="A5" s="5" t="s">
        <v>0</v>
      </c>
      <c r="B5" s="13">
        <v>5</v>
      </c>
      <c r="C5" s="5" t="s">
        <v>1</v>
      </c>
      <c r="J5" s="4" t="s">
        <v>39</v>
      </c>
      <c r="K5" s="4" t="s">
        <v>66</v>
      </c>
      <c r="L5" s="4">
        <f>0.35*L1</f>
        <v>3.3119032512127236E-2</v>
      </c>
      <c r="M5" s="4" t="s">
        <v>15</v>
      </c>
      <c r="O5" s="10">
        <f>L5*10000</f>
        <v>331.19032512127234</v>
      </c>
      <c r="P5" s="4" t="s">
        <v>63</v>
      </c>
    </row>
    <row r="6" spans="1:16" ht="18" x14ac:dyDescent="0.25">
      <c r="A6" s="5" t="s">
        <v>2</v>
      </c>
      <c r="B6" s="13">
        <v>9.81</v>
      </c>
      <c r="C6" s="5" t="s">
        <v>3</v>
      </c>
      <c r="J6" s="4" t="s">
        <v>40</v>
      </c>
      <c r="K6" s="4" t="s">
        <v>51</v>
      </c>
      <c r="L6" s="4">
        <f>L2</f>
        <v>0.53832289054164628</v>
      </c>
      <c r="M6" s="4" t="s">
        <v>32</v>
      </c>
      <c r="O6" s="10">
        <f t="shared" si="0"/>
        <v>53.832289054164626</v>
      </c>
      <c r="P6" s="4" t="s">
        <v>62</v>
      </c>
    </row>
    <row r="7" spans="1:16" ht="18" x14ac:dyDescent="0.25">
      <c r="A7" s="5" t="s">
        <v>109</v>
      </c>
      <c r="B7" s="13">
        <v>1.2250000000000001</v>
      </c>
      <c r="C7" s="5" t="s">
        <v>14</v>
      </c>
      <c r="J7" s="4" t="s">
        <v>41</v>
      </c>
      <c r="K7" s="4" t="s">
        <v>50</v>
      </c>
      <c r="L7" s="4">
        <f>L5/L6</f>
        <v>6.1522616061902437E-2</v>
      </c>
      <c r="M7" s="4" t="s">
        <v>32</v>
      </c>
      <c r="O7" s="10">
        <f t="shared" si="0"/>
        <v>6.152261606190244</v>
      </c>
      <c r="P7" s="4" t="s">
        <v>62</v>
      </c>
    </row>
    <row r="8" spans="1:16" ht="17.25" x14ac:dyDescent="0.25">
      <c r="A8" s="5" t="s">
        <v>110</v>
      </c>
      <c r="B8" s="13">
        <v>1.1100000000000001</v>
      </c>
      <c r="C8" s="5" t="s">
        <v>14</v>
      </c>
      <c r="O8" s="11"/>
    </row>
    <row r="9" spans="1:16" ht="18" x14ac:dyDescent="0.25">
      <c r="A9" s="3" t="s">
        <v>67</v>
      </c>
      <c r="B9" s="14">
        <v>20</v>
      </c>
      <c r="C9"/>
      <c r="J9" s="4" t="s">
        <v>42</v>
      </c>
      <c r="K9" s="4" t="s">
        <v>49</v>
      </c>
      <c r="L9" s="4">
        <f>0.33*L1</f>
        <v>3.1226516368577109E-2</v>
      </c>
      <c r="M9" s="4" t="s">
        <v>15</v>
      </c>
      <c r="O9" s="10">
        <f>L9*10000</f>
        <v>312.26516368577109</v>
      </c>
      <c r="P9" s="4" t="s">
        <v>63</v>
      </c>
    </row>
    <row r="10" spans="1:16" ht="18" x14ac:dyDescent="0.25">
      <c r="A10" s="3" t="s">
        <v>111</v>
      </c>
      <c r="B10" s="14">
        <v>0.8</v>
      </c>
      <c r="C10"/>
      <c r="J10" s="4" t="s">
        <v>43</v>
      </c>
      <c r="K10" s="4" t="s">
        <v>48</v>
      </c>
      <c r="L10" s="4">
        <f>L3</f>
        <v>0.17577890303400698</v>
      </c>
      <c r="M10" s="4" t="s">
        <v>32</v>
      </c>
      <c r="O10" s="10">
        <f t="shared" si="0"/>
        <v>17.577890303400697</v>
      </c>
      <c r="P10" s="4" t="s">
        <v>62</v>
      </c>
    </row>
    <row r="11" spans="1:16" ht="18" x14ac:dyDescent="0.25">
      <c r="A11" s="3" t="s">
        <v>129</v>
      </c>
      <c r="B11" s="14">
        <v>0.67</v>
      </c>
      <c r="J11" s="4" t="s">
        <v>44</v>
      </c>
      <c r="K11" s="4" t="s">
        <v>47</v>
      </c>
      <c r="L11" s="4">
        <f>L9/L10</f>
        <v>0.17764655387874326</v>
      </c>
      <c r="M11" s="4" t="s">
        <v>23</v>
      </c>
      <c r="O11" s="10">
        <f t="shared" si="0"/>
        <v>17.764655387874324</v>
      </c>
      <c r="P11" s="4" t="s">
        <v>62</v>
      </c>
    </row>
    <row r="12" spans="1:16" ht="18" x14ac:dyDescent="0.25">
      <c r="A12" s="6" t="s">
        <v>130</v>
      </c>
      <c r="B12" s="15">
        <v>1.29</v>
      </c>
      <c r="J12"/>
      <c r="K12"/>
      <c r="L12"/>
      <c r="M12"/>
      <c r="O12" s="11"/>
    </row>
    <row r="13" spans="1:16" ht="18" x14ac:dyDescent="0.25">
      <c r="A13" s="3" t="s">
        <v>12</v>
      </c>
      <c r="B13" s="16">
        <v>16.666666667000001</v>
      </c>
      <c r="C13" s="3" t="s">
        <v>3</v>
      </c>
      <c r="F13" s="3">
        <f>B13*3.6</f>
        <v>60.000000001200007</v>
      </c>
      <c r="G13" s="3" t="s">
        <v>9</v>
      </c>
      <c r="J13" s="4" t="s">
        <v>57</v>
      </c>
      <c r="K13" s="4" t="s">
        <v>46</v>
      </c>
      <c r="L13" s="4">
        <f>0.33*L9</f>
        <v>1.0304750401630447E-2</v>
      </c>
      <c r="M13" s="4" t="s">
        <v>15</v>
      </c>
      <c r="O13" s="10">
        <f>L13*10000</f>
        <v>103.04750401630447</v>
      </c>
      <c r="P13" s="4" t="s">
        <v>63</v>
      </c>
    </row>
    <row r="14" spans="1:16" ht="18" x14ac:dyDescent="0.25">
      <c r="A14" s="3" t="s">
        <v>131</v>
      </c>
      <c r="B14" s="14">
        <v>0.11</v>
      </c>
      <c r="J14" s="4" t="s">
        <v>56</v>
      </c>
      <c r="K14" s="4" t="s">
        <v>45</v>
      </c>
      <c r="L14" s="4">
        <f>L11</f>
        <v>0.17764655387874326</v>
      </c>
      <c r="M14" s="4" t="s">
        <v>23</v>
      </c>
      <c r="O14" s="10">
        <f t="shared" si="0"/>
        <v>17.764655387874324</v>
      </c>
      <c r="P14" s="4" t="s">
        <v>62</v>
      </c>
    </row>
    <row r="15" spans="1:16" ht="18" x14ac:dyDescent="0.25">
      <c r="A15" s="3" t="s">
        <v>68</v>
      </c>
      <c r="B15" s="14">
        <v>5</v>
      </c>
      <c r="C15" s="3" t="s">
        <v>3</v>
      </c>
      <c r="D15" s="12"/>
      <c r="J15" s="4" t="s">
        <v>55</v>
      </c>
      <c r="K15" s="4" t="s">
        <v>54</v>
      </c>
      <c r="L15" s="4">
        <f>L13/L14</f>
        <v>5.8007038001222311E-2</v>
      </c>
      <c r="M15" s="4" t="s">
        <v>23</v>
      </c>
      <c r="O15" s="10">
        <f t="shared" si="0"/>
        <v>5.8007038001222311</v>
      </c>
      <c r="P15" s="4" t="s">
        <v>62</v>
      </c>
    </row>
    <row r="16" spans="1:16" x14ac:dyDescent="0.25">
      <c r="A16" s="3" t="s">
        <v>28</v>
      </c>
      <c r="B16" s="14">
        <v>4.4000000000000004</v>
      </c>
      <c r="C16" s="7" t="s">
        <v>3</v>
      </c>
      <c r="D16" s="12"/>
    </row>
    <row r="17" spans="1:21" x14ac:dyDescent="0.25">
      <c r="A17" s="3" t="s">
        <v>29</v>
      </c>
      <c r="B17" s="14">
        <v>0.4</v>
      </c>
    </row>
    <row r="18" spans="1:21" x14ac:dyDescent="0.25">
      <c r="A18" s="3" t="s">
        <v>71</v>
      </c>
      <c r="B18" s="14">
        <v>14.8</v>
      </c>
      <c r="J18" s="36"/>
      <c r="K18" s="37"/>
      <c r="L18" s="37"/>
      <c r="M18" s="37"/>
      <c r="N18" s="37"/>
      <c r="O18" s="37"/>
      <c r="P18" s="37"/>
      <c r="Q18" s="37"/>
      <c r="R18" s="38"/>
    </row>
    <row r="19" spans="1:21" x14ac:dyDescent="0.25">
      <c r="A19" s="6" t="s">
        <v>73</v>
      </c>
      <c r="B19" s="15">
        <v>1000</v>
      </c>
    </row>
    <row r="20" spans="1:21" x14ac:dyDescent="0.25">
      <c r="A20" s="3" t="s">
        <v>72</v>
      </c>
      <c r="B20" s="14">
        <v>0.127</v>
      </c>
      <c r="C20" s="3" t="s">
        <v>31</v>
      </c>
    </row>
    <row r="21" spans="1:21" ht="15.75" x14ac:dyDescent="0.25">
      <c r="J21" s="21" t="s">
        <v>90</v>
      </c>
    </row>
    <row r="22" spans="1:21" ht="18" x14ac:dyDescent="0.25">
      <c r="J22" s="3" t="s">
        <v>95</v>
      </c>
      <c r="K22" s="3">
        <f>L5</f>
        <v>3.3119032512127236E-2</v>
      </c>
      <c r="L22" s="3" t="s">
        <v>94</v>
      </c>
    </row>
    <row r="23" spans="1:21" ht="18" x14ac:dyDescent="0.25">
      <c r="C23" s="18"/>
      <c r="G23" s="1"/>
      <c r="J23" s="3" t="s">
        <v>87</v>
      </c>
      <c r="K23" s="3">
        <f>L6</f>
        <v>0.53832289054164628</v>
      </c>
      <c r="L23" s="3" t="s">
        <v>32</v>
      </c>
    </row>
    <row r="24" spans="1:21" x14ac:dyDescent="0.25">
      <c r="A24" s="4" t="s">
        <v>7</v>
      </c>
      <c r="B24" s="4" t="s">
        <v>8</v>
      </c>
      <c r="C24" s="24">
        <f>B5*B6</f>
        <v>49.050000000000004</v>
      </c>
      <c r="D24" s="17" t="s">
        <v>4</v>
      </c>
      <c r="E24" s="22"/>
      <c r="J24" s="3" t="s">
        <v>77</v>
      </c>
      <c r="K24" s="14">
        <f>B13</f>
        <v>16.666666667000001</v>
      </c>
      <c r="L24" s="3" t="s">
        <v>3</v>
      </c>
    </row>
    <row r="25" spans="1:21" ht="17.25" x14ac:dyDescent="0.25">
      <c r="A25" s="4" t="s">
        <v>5</v>
      </c>
      <c r="B25" s="4" t="s">
        <v>6</v>
      </c>
      <c r="C25" s="24">
        <f>C24*1.1</f>
        <v>53.955000000000013</v>
      </c>
      <c r="D25" s="17" t="s">
        <v>4</v>
      </c>
      <c r="E25" s="22"/>
      <c r="J25" s="3" t="s">
        <v>106</v>
      </c>
      <c r="K25" s="14">
        <f>B8</f>
        <v>1.1100000000000001</v>
      </c>
      <c r="L25" s="3" t="s">
        <v>14</v>
      </c>
    </row>
    <row r="26" spans="1:21" ht="18" x14ac:dyDescent="0.25">
      <c r="C26" s="25"/>
      <c r="D26" s="22"/>
      <c r="E26" s="22"/>
      <c r="J26" s="20" t="s">
        <v>116</v>
      </c>
      <c r="K26" s="20">
        <f>O26*(3.1415/180)</f>
        <v>8.7263888888888891E-2</v>
      </c>
      <c r="L26" s="20" t="s">
        <v>74</v>
      </c>
      <c r="M26" s="22"/>
      <c r="N26" s="22"/>
      <c r="O26" s="20">
        <v>5</v>
      </c>
      <c r="P26" s="20" t="s">
        <v>88</v>
      </c>
      <c r="Q26" s="23"/>
      <c r="R26" s="29" t="s">
        <v>89</v>
      </c>
      <c r="S26" s="30"/>
      <c r="T26" s="30"/>
      <c r="U26" s="31"/>
    </row>
    <row r="27" spans="1:21" ht="18" x14ac:dyDescent="0.25">
      <c r="A27" s="9" t="s">
        <v>11</v>
      </c>
      <c r="B27" s="4" t="s">
        <v>119</v>
      </c>
      <c r="C27" s="26">
        <f>C25 /(1.225*16.67*16.67*B11*0.5)</f>
        <v>0.47312903588753191</v>
      </c>
      <c r="D27" s="27" t="s">
        <v>120</v>
      </c>
      <c r="E27" s="22"/>
      <c r="J27" s="3" t="s">
        <v>86</v>
      </c>
      <c r="K27" s="3">
        <v>4.5</v>
      </c>
    </row>
    <row r="28" spans="1:21" x14ac:dyDescent="0.25">
      <c r="A28" s="4" t="s">
        <v>25</v>
      </c>
      <c r="B28" s="4" t="s">
        <v>22</v>
      </c>
      <c r="C28" s="24">
        <f>SQRT(B9*C27)</f>
        <v>3.0761308030951215</v>
      </c>
      <c r="D28" s="17" t="s">
        <v>23</v>
      </c>
      <c r="E28" s="22"/>
      <c r="J28" s="3" t="s">
        <v>75</v>
      </c>
      <c r="K28" s="3">
        <v>0.86799999999999999</v>
      </c>
    </row>
    <row r="29" spans="1:21" x14ac:dyDescent="0.25">
      <c r="A29" s="4" t="s">
        <v>26</v>
      </c>
      <c r="B29" s="4" t="s">
        <v>24</v>
      </c>
      <c r="C29" s="24">
        <f>(C27/C28)</f>
        <v>0.15380654015475609</v>
      </c>
      <c r="D29" s="17" t="s">
        <v>23</v>
      </c>
      <c r="E29" s="22"/>
      <c r="J29" s="3" t="s">
        <v>76</v>
      </c>
      <c r="K29" s="3">
        <v>0.9</v>
      </c>
    </row>
    <row r="30" spans="1:21" ht="18" x14ac:dyDescent="0.25">
      <c r="C30" s="25"/>
      <c r="D30" s="22"/>
      <c r="E30" s="22"/>
      <c r="J30" s="3" t="s">
        <v>85</v>
      </c>
      <c r="K30" s="3">
        <v>1.2E-2</v>
      </c>
    </row>
    <row r="31" spans="1:21" x14ac:dyDescent="0.25">
      <c r="C31" s="25"/>
      <c r="D31" s="22"/>
      <c r="E31" s="22"/>
    </row>
    <row r="32" spans="1:21" ht="18" x14ac:dyDescent="0.25">
      <c r="A32" s="4" t="s">
        <v>10</v>
      </c>
      <c r="B32" s="4" t="s">
        <v>118</v>
      </c>
      <c r="C32" s="24">
        <f>SQRT((2*C24)/(B8*C27*B12))</f>
        <v>12.033400143075047</v>
      </c>
      <c r="D32" s="17" t="s">
        <v>3</v>
      </c>
      <c r="F32" s="17">
        <f>C32*3.6</f>
        <v>43.320240515070168</v>
      </c>
      <c r="G32" s="17" t="s">
        <v>27</v>
      </c>
    </row>
    <row r="33" spans="1:21" ht="18" x14ac:dyDescent="0.25">
      <c r="A33" s="4" t="s">
        <v>16</v>
      </c>
      <c r="B33" s="4" t="s">
        <v>17</v>
      </c>
      <c r="C33" s="24">
        <f>C24/C27</f>
        <v>103.67150667045458</v>
      </c>
      <c r="D33" s="17" t="s">
        <v>121</v>
      </c>
      <c r="E33" s="22"/>
      <c r="J33" s="4" t="s">
        <v>81</v>
      </c>
      <c r="K33" s="4" t="s">
        <v>80</v>
      </c>
      <c r="L33" s="4">
        <f>(K23*K23)/K22</f>
        <v>8.7499999999999982</v>
      </c>
      <c r="M33" s="4" t="s">
        <v>78</v>
      </c>
    </row>
    <row r="34" spans="1:21" ht="18" x14ac:dyDescent="0.25">
      <c r="C34" s="25"/>
      <c r="D34" s="22"/>
      <c r="E34" s="22"/>
      <c r="J34" s="4" t="s">
        <v>82</v>
      </c>
      <c r="K34" s="4" t="s">
        <v>112</v>
      </c>
      <c r="L34" s="4">
        <f xml:space="preserve"> K27*K29*K26</f>
        <v>0.35341875</v>
      </c>
      <c r="M34" s="4" t="s">
        <v>78</v>
      </c>
    </row>
    <row r="35" spans="1:21" ht="18" x14ac:dyDescent="0.25">
      <c r="A35" s="4" t="s">
        <v>18</v>
      </c>
      <c r="B35" s="4" t="s">
        <v>128</v>
      </c>
      <c r="C35" s="24">
        <f>0.5*B8*C27*B14*B13*B13</f>
        <v>8.0234799005803374</v>
      </c>
      <c r="D35" s="17" t="s">
        <v>4</v>
      </c>
      <c r="E35" s="28"/>
      <c r="J35" s="4" t="s">
        <v>83</v>
      </c>
      <c r="K35" s="4" t="s">
        <v>96</v>
      </c>
      <c r="L35" s="4">
        <f>(L34*L34)/(3.1415*K28*L33)</f>
        <v>5.2349716096115875E-3</v>
      </c>
      <c r="M35" s="4" t="s">
        <v>78</v>
      </c>
    </row>
    <row r="36" spans="1:21" ht="18" x14ac:dyDescent="0.25">
      <c r="C36" s="25"/>
      <c r="D36" s="22"/>
      <c r="E36" s="22"/>
      <c r="J36" s="4" t="s">
        <v>84</v>
      </c>
      <c r="K36" s="4" t="s">
        <v>79</v>
      </c>
      <c r="L36" s="4">
        <f xml:space="preserve"> L35+K30</f>
        <v>1.7234971609611589E-2</v>
      </c>
      <c r="M36" s="4" t="s">
        <v>78</v>
      </c>
    </row>
    <row r="37" spans="1:21" ht="18" x14ac:dyDescent="0.25">
      <c r="A37" s="4" t="s">
        <v>65</v>
      </c>
      <c r="B37" s="4" t="s">
        <v>127</v>
      </c>
      <c r="C37" s="24">
        <f>C24/(B11/B14)</f>
        <v>8.0529850746268661</v>
      </c>
      <c r="D37" s="17" t="s">
        <v>4</v>
      </c>
      <c r="E37" s="22"/>
      <c r="J37" s="17" t="s">
        <v>117</v>
      </c>
      <c r="K37" s="17" t="s">
        <v>108</v>
      </c>
      <c r="L37" s="17">
        <f>(L36*K24*K24*K22*B8)/2</f>
        <v>8.7999194370685374E-2</v>
      </c>
      <c r="M37" s="17" t="s">
        <v>4</v>
      </c>
    </row>
    <row r="38" spans="1:21" ht="18" x14ac:dyDescent="0.25">
      <c r="A38" s="4" t="s">
        <v>35</v>
      </c>
      <c r="B38" s="4" t="s">
        <v>126</v>
      </c>
      <c r="C38" s="24">
        <f>C35+C24*SIN(B15/B13)</f>
        <v>22.518746037037886</v>
      </c>
      <c r="D38" s="17" t="s">
        <v>4</v>
      </c>
      <c r="E38" s="22"/>
    </row>
    <row r="39" spans="1:21" ht="18" x14ac:dyDescent="0.25">
      <c r="A39" s="4" t="s">
        <v>53</v>
      </c>
      <c r="B39" s="4" t="s">
        <v>123</v>
      </c>
      <c r="C39" s="24">
        <f>B6*B5*B10</f>
        <v>39.240000000000009</v>
      </c>
      <c r="D39" s="17" t="s">
        <v>4</v>
      </c>
      <c r="E39" s="22"/>
    </row>
    <row r="40" spans="1:21" ht="18" x14ac:dyDescent="0.25">
      <c r="A40" s="4" t="s">
        <v>34</v>
      </c>
      <c r="B40" s="4" t="s">
        <v>124</v>
      </c>
      <c r="C40" s="24">
        <f>C35+C39+B5*B16</f>
        <v>69.26347990058035</v>
      </c>
      <c r="D40" s="17" t="s">
        <v>4</v>
      </c>
      <c r="E40" s="22"/>
      <c r="J40" s="21" t="s">
        <v>91</v>
      </c>
    </row>
    <row r="41" spans="1:21" ht="18" x14ac:dyDescent="0.25">
      <c r="A41" s="4" t="s">
        <v>59</v>
      </c>
      <c r="B41" s="4" t="s">
        <v>125</v>
      </c>
      <c r="C41" s="24">
        <f>SQRT(2*C24/(B11*B7*C27))</f>
        <v>15.894221362724025</v>
      </c>
      <c r="D41" s="17" t="s">
        <v>3</v>
      </c>
      <c r="E41" s="22"/>
      <c r="J41" s="3" t="s">
        <v>97</v>
      </c>
      <c r="K41" s="3">
        <f>L13</f>
        <v>1.0304750401630447E-2</v>
      </c>
      <c r="L41" s="3" t="s">
        <v>94</v>
      </c>
    </row>
    <row r="42" spans="1:21" ht="18" x14ac:dyDescent="0.25">
      <c r="A42" s="4" t="s">
        <v>61</v>
      </c>
      <c r="B42" s="4" t="s">
        <v>60</v>
      </c>
      <c r="C42" s="24">
        <f>C41/B16</f>
        <v>3.6123230369827328</v>
      </c>
      <c r="D42" s="17" t="s">
        <v>58</v>
      </c>
      <c r="E42" s="22"/>
      <c r="J42" s="3" t="s">
        <v>98</v>
      </c>
      <c r="K42" s="3">
        <f>L14</f>
        <v>0.17764655387874326</v>
      </c>
      <c r="L42" s="3" t="s">
        <v>32</v>
      </c>
    </row>
    <row r="43" spans="1:21" x14ac:dyDescent="0.25">
      <c r="A43" s="9" t="s">
        <v>64</v>
      </c>
      <c r="B43" s="9" t="s">
        <v>132</v>
      </c>
      <c r="C43" s="27">
        <f>B16*0.5*C42*C42</f>
        <v>28.707530991735538</v>
      </c>
      <c r="D43" s="26" t="s">
        <v>32</v>
      </c>
      <c r="E43" s="22"/>
      <c r="J43" s="3" t="s">
        <v>77</v>
      </c>
      <c r="K43" s="14">
        <f>B13</f>
        <v>16.666666667000001</v>
      </c>
      <c r="L43" s="3" t="s">
        <v>3</v>
      </c>
    </row>
    <row r="44" spans="1:21" ht="17.25" x14ac:dyDescent="0.25">
      <c r="A44" s="4" t="s">
        <v>69</v>
      </c>
      <c r="B44" s="4" t="s">
        <v>70</v>
      </c>
      <c r="C44" s="24">
        <f>(C37*B13)/2</f>
        <v>67.10820895656606</v>
      </c>
      <c r="D44" s="17" t="s">
        <v>122</v>
      </c>
      <c r="E44"/>
      <c r="J44" s="3" t="s">
        <v>106</v>
      </c>
      <c r="K44" s="3">
        <v>1.1100000000000001</v>
      </c>
      <c r="L44" s="3" t="s">
        <v>14</v>
      </c>
    </row>
    <row r="45" spans="1:21" ht="18" x14ac:dyDescent="0.25">
      <c r="A45"/>
      <c r="B45"/>
      <c r="C45" s="19"/>
      <c r="D45"/>
      <c r="J45" s="20" t="s">
        <v>115</v>
      </c>
      <c r="K45" s="20">
        <f>O45*(3.1415/180)</f>
        <v>8.7263888888888891E-2</v>
      </c>
      <c r="L45" s="20" t="s">
        <v>74</v>
      </c>
      <c r="M45" s="22"/>
      <c r="N45" s="22"/>
      <c r="O45" s="20">
        <v>5</v>
      </c>
      <c r="P45" s="20" t="s">
        <v>88</v>
      </c>
      <c r="Q45" s="23"/>
      <c r="R45" s="29" t="s">
        <v>89</v>
      </c>
      <c r="S45" s="30"/>
      <c r="T45" s="30"/>
      <c r="U45" s="31"/>
    </row>
    <row r="46" spans="1:21" x14ac:dyDescent="0.25">
      <c r="A46"/>
      <c r="B46"/>
      <c r="C46"/>
      <c r="D46"/>
      <c r="J46" s="3" t="s">
        <v>92</v>
      </c>
      <c r="K46" s="3">
        <v>4.5</v>
      </c>
    </row>
    <row r="47" spans="1:21" x14ac:dyDescent="0.25">
      <c r="J47" s="3" t="s">
        <v>75</v>
      </c>
      <c r="K47" s="3">
        <v>0.86799999999999999</v>
      </c>
    </row>
    <row r="48" spans="1:21" x14ac:dyDescent="0.25">
      <c r="J48" s="3" t="s">
        <v>76</v>
      </c>
      <c r="K48" s="3">
        <v>0.9</v>
      </c>
    </row>
    <row r="49" spans="10:13" x14ac:dyDescent="0.25">
      <c r="J49" s="3" t="s">
        <v>93</v>
      </c>
      <c r="K49" s="3">
        <v>1.2E-2</v>
      </c>
    </row>
    <row r="52" spans="10:13" ht="18" x14ac:dyDescent="0.25">
      <c r="J52" s="4" t="s">
        <v>105</v>
      </c>
      <c r="K52" s="4" t="s">
        <v>99</v>
      </c>
      <c r="L52" s="4">
        <f>(K42*K42)/K41</f>
        <v>3.0624999999999982</v>
      </c>
      <c r="M52" s="4" t="s">
        <v>78</v>
      </c>
    </row>
    <row r="53" spans="10:13" ht="18" x14ac:dyDescent="0.25">
      <c r="J53" s="4" t="s">
        <v>101</v>
      </c>
      <c r="K53" s="4" t="s">
        <v>113</v>
      </c>
      <c r="L53" s="4">
        <f>K46*K48*K45</f>
        <v>0.35341875</v>
      </c>
      <c r="M53" s="4" t="s">
        <v>78</v>
      </c>
    </row>
    <row r="54" spans="10:13" ht="18" x14ac:dyDescent="0.25">
      <c r="J54" s="4" t="s">
        <v>102</v>
      </c>
      <c r="K54" s="4" t="s">
        <v>100</v>
      </c>
      <c r="L54" s="4">
        <f>(L53*L53)/(3.1415*K47*L52)</f>
        <v>1.4957061741747399E-2</v>
      </c>
      <c r="M54" s="4" t="s">
        <v>78</v>
      </c>
    </row>
    <row r="55" spans="10:13" ht="18" x14ac:dyDescent="0.25">
      <c r="J55" s="4" t="s">
        <v>104</v>
      </c>
      <c r="K55" s="4" t="s">
        <v>103</v>
      </c>
      <c r="L55" s="4">
        <f>L54+K49</f>
        <v>2.6957061741747397E-2</v>
      </c>
      <c r="M55" s="4" t="s">
        <v>78</v>
      </c>
    </row>
    <row r="56" spans="10:13" ht="18" x14ac:dyDescent="0.25">
      <c r="J56" s="17" t="s">
        <v>114</v>
      </c>
      <c r="K56" s="17" t="s">
        <v>107</v>
      </c>
      <c r="L56" s="17">
        <f>K44*L55*K41*K43*K43*0.5</f>
        <v>4.2825309726595463E-2</v>
      </c>
      <c r="M56" s="17" t="s">
        <v>4</v>
      </c>
    </row>
  </sheetData>
  <mergeCells count="5">
    <mergeCell ref="R45:U45"/>
    <mergeCell ref="A4:C4"/>
    <mergeCell ref="A1:B2"/>
    <mergeCell ref="J18:R18"/>
    <mergeCell ref="R26:U2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</dc:creator>
  <cp:lastModifiedBy>Gabriel Martinko</cp:lastModifiedBy>
  <dcterms:created xsi:type="dcterms:W3CDTF">2015-06-05T18:17:20Z</dcterms:created>
  <dcterms:modified xsi:type="dcterms:W3CDTF">2025-12-15T23:13:50Z</dcterms:modified>
</cp:coreProperties>
</file>